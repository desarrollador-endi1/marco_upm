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aibor\Desktop\"/>
    </mc:Choice>
  </mc:AlternateContent>
  <bookViews>
    <workbookView xWindow="0" yWindow="0" windowWidth="28800" windowHeight="12435" activeTab="1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2" l="1"/>
  <c r="G6" i="2"/>
  <c r="H6" i="2" s="1"/>
  <c r="I6" i="2" s="1"/>
  <c r="J6" i="2" s="1"/>
  <c r="G5" i="2"/>
  <c r="H5" i="2" s="1"/>
  <c r="I5" i="2" s="1"/>
  <c r="J5" i="2" s="1"/>
  <c r="F6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5" i="2"/>
  <c r="C7" i="1"/>
  <c r="G5" i="1"/>
  <c r="K5" i="2" l="1"/>
  <c r="C7" i="2"/>
  <c r="K6" i="2"/>
  <c r="C5" i="1"/>
  <c r="F7" i="2" l="1"/>
  <c r="G7" i="2" s="1"/>
  <c r="H7" i="2" s="1"/>
  <c r="E5" i="1"/>
  <c r="H5" i="1" s="1"/>
  <c r="I5" i="1" s="1"/>
  <c r="J5" i="1" s="1"/>
  <c r="K5" i="1" s="1"/>
  <c r="L5" i="1" s="1"/>
  <c r="F5" i="1"/>
  <c r="I7" i="2" l="1"/>
  <c r="E6" i="1"/>
  <c r="G6" i="1" s="1"/>
  <c r="H6" i="1" s="1"/>
  <c r="I6" i="1" s="1"/>
  <c r="J6" i="1" s="1"/>
  <c r="K6" i="1" s="1"/>
  <c r="L6" i="1" s="1"/>
  <c r="J7" i="2" l="1"/>
  <c r="K7" i="2" s="1"/>
  <c r="C8" i="2"/>
  <c r="F6" i="1"/>
  <c r="F8" i="2" l="1"/>
  <c r="G8" i="2" s="1"/>
  <c r="H8" i="2" s="1"/>
  <c r="I8" i="2" s="1"/>
  <c r="E7" i="1"/>
  <c r="F7" i="1" s="1"/>
  <c r="C8" i="1" s="1"/>
  <c r="J8" i="2" l="1"/>
  <c r="K8" i="2" s="1"/>
  <c r="C9" i="2"/>
  <c r="G7" i="1"/>
  <c r="H7" i="1" s="1"/>
  <c r="I7" i="1" s="1"/>
  <c r="J7" i="1" s="1"/>
  <c r="K7" i="1" s="1"/>
  <c r="L7" i="1" s="1"/>
  <c r="E8" i="1"/>
  <c r="F8" i="1" s="1"/>
  <c r="F9" i="2" l="1"/>
  <c r="G9" i="2" s="1"/>
  <c r="H9" i="2" s="1"/>
  <c r="I9" i="2" s="1"/>
  <c r="G8" i="1"/>
  <c r="H8" i="1" s="1"/>
  <c r="I8" i="1" s="1"/>
  <c r="J8" i="1" s="1"/>
  <c r="K8" i="1" s="1"/>
  <c r="L8" i="1" s="1"/>
  <c r="C10" i="2" l="1"/>
  <c r="F10" i="2" s="1"/>
  <c r="G10" i="2" s="1"/>
  <c r="H10" i="2" s="1"/>
  <c r="I10" i="2" s="1"/>
  <c r="J9" i="2"/>
  <c r="K9" i="2" s="1"/>
  <c r="C9" i="1"/>
  <c r="J10" i="2" l="1"/>
  <c r="K10" i="2" s="1"/>
  <c r="C11" i="2"/>
  <c r="F11" i="2" s="1"/>
  <c r="G11" i="2" s="1"/>
  <c r="H11" i="2" s="1"/>
  <c r="I11" i="2" s="1"/>
  <c r="E9" i="1"/>
  <c r="J11" i="2" l="1"/>
  <c r="K11" i="2" s="1"/>
  <c r="C12" i="2"/>
  <c r="F12" i="2" s="1"/>
  <c r="G12" i="2" s="1"/>
  <c r="H12" i="2" s="1"/>
  <c r="I12" i="2" s="1"/>
  <c r="F9" i="1"/>
  <c r="G9" i="1"/>
  <c r="H9" i="1" s="1"/>
  <c r="I9" i="1" s="1"/>
  <c r="J9" i="1" s="1"/>
  <c r="K9" i="1" s="1"/>
  <c r="L9" i="1" s="1"/>
  <c r="J12" i="2" l="1"/>
  <c r="K12" i="2" s="1"/>
  <c r="C13" i="2"/>
  <c r="F13" i="2" s="1"/>
  <c r="G13" i="2" s="1"/>
  <c r="H13" i="2" s="1"/>
  <c r="I13" i="2" s="1"/>
  <c r="C10" i="1"/>
  <c r="J13" i="2" l="1"/>
  <c r="K13" i="2" s="1"/>
  <c r="C14" i="2"/>
  <c r="E10" i="1"/>
  <c r="G10" i="1" s="1"/>
  <c r="H10" i="1" s="1"/>
  <c r="I10" i="1" s="1"/>
  <c r="J10" i="1" s="1"/>
  <c r="K10" i="1" s="1"/>
  <c r="L10" i="1" s="1"/>
  <c r="C11" i="1" s="1"/>
  <c r="E11" i="1" s="1"/>
  <c r="G11" i="1" s="1"/>
  <c r="H11" i="1" s="1"/>
  <c r="F14" i="2" l="1"/>
  <c r="G14" i="2" s="1"/>
  <c r="H14" i="2" s="1"/>
  <c r="I14" i="2" s="1"/>
  <c r="F10" i="1"/>
  <c r="I11" i="1"/>
  <c r="J11" i="1" s="1"/>
  <c r="K11" i="1" s="1"/>
  <c r="L11" i="1" s="1"/>
  <c r="C12" i="1" s="1"/>
  <c r="F11" i="1"/>
  <c r="C15" i="2" l="1"/>
  <c r="J14" i="2"/>
  <c r="K14" i="2" s="1"/>
  <c r="E12" i="1"/>
  <c r="F12" i="1" s="1"/>
  <c r="F15" i="2" l="1"/>
  <c r="G15" i="2" s="1"/>
  <c r="H15" i="2" s="1"/>
  <c r="I15" i="2" s="1"/>
  <c r="G12" i="1"/>
  <c r="H12" i="1" s="1"/>
  <c r="I12" i="1" s="1"/>
  <c r="J12" i="1" s="1"/>
  <c r="K12" i="1" s="1"/>
  <c r="L12" i="1" s="1"/>
  <c r="J15" i="2" l="1"/>
  <c r="K15" i="2" s="1"/>
  <c r="C16" i="2"/>
  <c r="F16" i="2" s="1"/>
  <c r="G16" i="2" s="1"/>
  <c r="H16" i="2" s="1"/>
  <c r="I16" i="2" s="1"/>
  <c r="C13" i="1"/>
  <c r="E13" i="1" s="1"/>
  <c r="G13" i="1" s="1"/>
  <c r="H13" i="1" s="1"/>
  <c r="I13" i="1" s="1"/>
  <c r="J13" i="1" s="1"/>
  <c r="K13" i="1" s="1"/>
  <c r="L13" i="1" s="1"/>
  <c r="J16" i="2" l="1"/>
  <c r="K16" i="2" s="1"/>
  <c r="C17" i="2"/>
  <c r="F13" i="1"/>
  <c r="C14" i="1"/>
  <c r="E14" i="1" s="1"/>
  <c r="G14" i="1" s="1"/>
  <c r="H14" i="1" s="1"/>
  <c r="F17" i="2" l="1"/>
  <c r="G17" i="2" s="1"/>
  <c r="H17" i="2" s="1"/>
  <c r="I17" i="2" s="1"/>
  <c r="B19" i="2" s="1"/>
  <c r="F14" i="1"/>
  <c r="I14" i="1"/>
  <c r="J14" i="1" s="1"/>
  <c r="K14" i="1" s="1"/>
  <c r="L14" i="1" s="1"/>
  <c r="C15" i="1" s="1"/>
  <c r="J17" i="2" l="1"/>
  <c r="K17" i="2" s="1"/>
  <c r="B21" i="2"/>
  <c r="B20" i="2"/>
  <c r="E15" i="1"/>
  <c r="G15" i="1" s="1"/>
  <c r="H15" i="1" s="1"/>
  <c r="I15" i="1" s="1"/>
  <c r="F15" i="1" l="1"/>
  <c r="J15" i="1"/>
  <c r="K15" i="1" s="1"/>
  <c r="L15" i="1" s="1"/>
  <c r="C16" i="1" l="1"/>
  <c r="E16" i="1" s="1"/>
  <c r="G16" i="1" s="1"/>
  <c r="H16" i="1" s="1"/>
  <c r="F16" i="1" l="1"/>
  <c r="I16" i="1"/>
  <c r="J16" i="1" s="1"/>
  <c r="K16" i="1" s="1"/>
  <c r="L16" i="1" s="1"/>
  <c r="C17" i="1" s="1"/>
  <c r="E17" i="1" l="1"/>
  <c r="F17" i="1" s="1"/>
  <c r="G17" i="1" l="1"/>
  <c r="H17" i="1" s="1"/>
  <c r="I17" i="1" s="1"/>
  <c r="J17" i="1" s="1"/>
  <c r="K17" i="1" s="1"/>
  <c r="L17" i="1" s="1"/>
  <c r="B19" i="1" l="1"/>
  <c r="B20" i="1" l="1"/>
  <c r="B21" i="1"/>
</calcChain>
</file>

<file path=xl/sharedStrings.xml><?xml version="1.0" encoding="utf-8"?>
<sst xmlns="http://schemas.openxmlformats.org/spreadsheetml/2006/main" count="66" uniqueCount="38">
  <si>
    <t>Estratificación de las UPM</t>
  </si>
  <si>
    <t>Coordinación de Muestras</t>
  </si>
  <si>
    <t>CONSTRUCCIÓN MARCO MAESTRO DE MUESTREO</t>
  </si>
  <si>
    <t>Generación de Unidades Primarias de Muestreo (UPM)</t>
  </si>
  <si>
    <t>Fecha entrega base CPV</t>
  </si>
  <si>
    <t>Feriados 2023-2024</t>
  </si>
  <si>
    <t>Inicio actividad</t>
  </si>
  <si>
    <t>Fin actividad</t>
  </si>
  <si>
    <t>Identificar variables en cada una de las dimensiones</t>
  </si>
  <si>
    <t>Determinar en categorías mediante el algoritmo CHAID</t>
  </si>
  <si>
    <t>Categorizar las variables de la base del CPV</t>
  </si>
  <si>
    <t>Calcular los indicadores establecidos en la dimensión de estudio a nivel de UPM</t>
  </si>
  <si>
    <t>Aplicar técnicas de Estratificación y seleccionar el método de acuerdo al efecto de diseño</t>
  </si>
  <si>
    <t>Identificar las operaciones estadísticas que se van a realizar dentro de los próximos 10 años</t>
  </si>
  <si>
    <t>Establecer el diseño muestral para cada una de las operaciones estadísticas en el periodo intercensal</t>
  </si>
  <si>
    <t>Determinar el total de estratos que no contenga el número suficiente de UPM para seleccionar el tamaño de la muestra para los 10 años planificados</t>
  </si>
  <si>
    <t>Determinar el vector de pesos</t>
  </si>
  <si>
    <t>Cálculo de matriz de incidencia</t>
  </si>
  <si>
    <t>Ejecución del algoritmo de conglomeración</t>
  </si>
  <si>
    <t>PROCESOS</t>
  </si>
  <si>
    <t>ACTIVIDADES</t>
  </si>
  <si>
    <t>Fecha entrega MMM</t>
  </si>
  <si>
    <t>Identificar dentro del marco de muestreo el número de coglomerados que existe y cómo están distribuidos por estratos</t>
  </si>
  <si>
    <t>Duración actividad</t>
  </si>
  <si>
    <t>Fecha 1</t>
  </si>
  <si>
    <t>dias laborales</t>
  </si>
  <si>
    <t>dias a incrementar</t>
  </si>
  <si>
    <t>fecha con el aumento</t>
  </si>
  <si>
    <t>control</t>
  </si>
  <si>
    <t>Fecha final</t>
  </si>
  <si>
    <t>Fecha entrega selección de la muestra ENIGHUR</t>
  </si>
  <si>
    <t>Fecha entrega selección de la muestra ENCIET</t>
  </si>
  <si>
    <t>Definir el método de coordinación de acuerdo al diseño de las encuestas (positiva, negtiva)</t>
  </si>
  <si>
    <t>c1</t>
  </si>
  <si>
    <t>fecha final</t>
  </si>
  <si>
    <t>dl2</t>
  </si>
  <si>
    <t>dl1</t>
  </si>
  <si>
    <t>Fecha entrega selección de la muestra ENDI año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</si>
</sst>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6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1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5" fontId="2" fillId="0" borderId="0" xfId="0" applyNumberFormat="1" applyFont="1"/>
    <xf numFmtId="15" fontId="2" fillId="0" borderId="0" xfId="0" applyNumberFormat="1" applyFont="1" applyAlignment="1">
      <alignment horizontal="left"/>
    </xf>
    <xf numFmtId="0" fontId="2" fillId="6" borderId="1" xfId="0" applyFont="1" applyFill="1" applyBorder="1"/>
    <xf numFmtId="15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15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0" fontId="2" fillId="6" borderId="1" xfId="0" applyNumberFormat="1" applyFont="1" applyFill="1" applyBorder="1" applyAlignment="1">
      <alignment vertical="center"/>
    </xf>
    <xf numFmtId="15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15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5" fontId="4" fillId="7" borderId="3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right"/>
    </xf>
    <xf numFmtId="15" fontId="1" fillId="0" borderId="5" xfId="0" applyNumberFormat="1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15" fontId="1" fillId="0" borderId="7" xfId="0" applyNumberFormat="1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15" fontId="1" fillId="0" borderId="9" xfId="0" applyNumberFormat="1" applyFont="1" applyBorder="1" applyAlignment="1">
      <alignment horizontal="left"/>
    </xf>
    <xf numFmtId="0" fontId="4" fillId="7" borderId="2" xfId="0" applyFont="1" applyFill="1" applyBorder="1" applyAlignment="1">
      <alignment horizontal="center"/>
    </xf>
    <xf numFmtId="15" fontId="2" fillId="3" borderId="7" xfId="0" applyNumberFormat="1" applyFont="1" applyFill="1" applyBorder="1" applyAlignment="1">
      <alignment vertical="center"/>
    </xf>
    <xf numFmtId="15" fontId="2" fillId="6" borderId="7" xfId="0" applyNumberFormat="1" applyFont="1" applyFill="1" applyBorder="1" applyAlignment="1">
      <alignment vertical="center"/>
    </xf>
    <xf numFmtId="15" fontId="2" fillId="2" borderId="7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 wrapText="1"/>
    </xf>
    <xf numFmtId="15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vertical="center"/>
    </xf>
    <xf numFmtId="0" fontId="2" fillId="2" borderId="10" xfId="0" applyNumberFormat="1" applyFont="1" applyFill="1" applyBorder="1" applyAlignment="1">
      <alignment vertical="center"/>
    </xf>
    <xf numFmtId="15" fontId="2" fillId="2" borderId="10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15" fontId="2" fillId="2" borderId="9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0" fillId="0" borderId="0" xfId="0" applyNumberFormat="1"/>
    <xf numFmtId="0" fontId="0" fillId="8" borderId="0" xfId="0" applyFill="1"/>
    <xf numFmtId="1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opLeftCell="B1" workbookViewId="0">
      <selection activeCell="B1" sqref="A1:XFD1048576"/>
    </sheetView>
  </sheetViews>
  <sheetFormatPr baseColWidth="10" defaultRowHeight="16.5" x14ac:dyDescent="0.3"/>
  <cols>
    <col min="1" max="1" width="59.5703125" style="1" bestFit="1" customWidth="1"/>
    <col min="2" max="2" width="63.85546875" style="1" bestFit="1" customWidth="1"/>
    <col min="3" max="3" width="17.5703125" style="1" bestFit="1" customWidth="1"/>
    <col min="4" max="4" width="21.5703125" style="1" bestFit="1" customWidth="1"/>
    <col min="5" max="5" width="11.140625" style="1" customWidth="1"/>
    <col min="6" max="6" width="14.42578125" style="1" customWidth="1"/>
    <col min="7" max="7" width="15.7109375" style="1" customWidth="1"/>
    <col min="8" max="8" width="20.85546875" style="1" customWidth="1"/>
    <col min="9" max="9" width="24.7109375" style="1" customWidth="1"/>
    <col min="10" max="10" width="15.7109375" style="1" customWidth="1"/>
    <col min="11" max="11" width="8.42578125" style="1" customWidth="1"/>
    <col min="12" max="12" width="12.5703125" style="1" bestFit="1" customWidth="1"/>
    <col min="13" max="16384" width="11.42578125" style="1"/>
  </cols>
  <sheetData>
    <row r="1" spans="1:12" ht="21" thickBot="1" x14ac:dyDescent="0.35">
      <c r="A1" s="34" t="s">
        <v>4</v>
      </c>
      <c r="B1" s="27">
        <v>45260</v>
      </c>
    </row>
    <row r="2" spans="1:12" ht="17.25" thickBot="1" x14ac:dyDescent="0.35"/>
    <row r="3" spans="1:12" ht="27.75" customHeight="1" thickBot="1" x14ac:dyDescent="0.35">
      <c r="A3" s="53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</row>
    <row r="4" spans="1:12" x14ac:dyDescent="0.3">
      <c r="A4" s="46" t="s">
        <v>19</v>
      </c>
      <c r="B4" s="47" t="s">
        <v>20</v>
      </c>
      <c r="C4" s="47" t="s">
        <v>6</v>
      </c>
      <c r="D4" s="47" t="s">
        <v>23</v>
      </c>
      <c r="E4" s="47" t="s">
        <v>24</v>
      </c>
      <c r="F4" s="47" t="s">
        <v>7</v>
      </c>
      <c r="G4" s="47" t="s">
        <v>25</v>
      </c>
      <c r="H4" s="47" t="s">
        <v>26</v>
      </c>
      <c r="I4" s="47" t="s">
        <v>27</v>
      </c>
      <c r="J4" s="47" t="s">
        <v>25</v>
      </c>
      <c r="K4" s="47" t="s">
        <v>28</v>
      </c>
      <c r="L4" s="48" t="s">
        <v>29</v>
      </c>
    </row>
    <row r="5" spans="1:12" x14ac:dyDescent="0.3">
      <c r="A5" s="52" t="s">
        <v>3</v>
      </c>
      <c r="B5" s="2" t="s">
        <v>16</v>
      </c>
      <c r="C5" s="3">
        <f>B1</f>
        <v>45260</v>
      </c>
      <c r="D5" s="4">
        <v>5</v>
      </c>
      <c r="E5" s="3">
        <f>C5+D5</f>
        <v>45265</v>
      </c>
      <c r="F5" s="15">
        <f>IF(NETWORKDAYS(C5,E5,$B$23:$B$27)&lt;D5,E5+D5-NETWORKDAYS(C5,E5,$B$23:$B$27),E5)</f>
        <v>45266</v>
      </c>
      <c r="G5" s="16">
        <f>+NETWORKDAYS.INTL(C5,E5,1,$B$23:$B$27)-1</f>
        <v>3</v>
      </c>
      <c r="H5" s="16">
        <f t="shared" ref="H5:H7" si="0">D5-G5</f>
        <v>2</v>
      </c>
      <c r="I5" s="17">
        <f t="shared" ref="I5:I7" si="1">E5+H5</f>
        <v>45267</v>
      </c>
      <c r="J5" s="16">
        <f t="shared" ref="J5:J7" si="2">+NETWORKDAYS.INTL(C5,I5,1,$B$23:$B$27)-1</f>
        <v>5</v>
      </c>
      <c r="K5" s="18">
        <f t="shared" ref="K5:K7" si="3">D5-J5</f>
        <v>0</v>
      </c>
      <c r="L5" s="35">
        <f t="shared" ref="L5:L7" si="4">I5+K5</f>
        <v>45267</v>
      </c>
    </row>
    <row r="6" spans="1:12" x14ac:dyDescent="0.3">
      <c r="A6" s="52"/>
      <c r="B6" s="2" t="s">
        <v>17</v>
      </c>
      <c r="C6" s="3">
        <v>45271</v>
      </c>
      <c r="D6" s="4">
        <v>5</v>
      </c>
      <c r="E6" s="3">
        <f t="shared" ref="E6:E17" si="5">C6+D6</f>
        <v>45276</v>
      </c>
      <c r="F6" s="15">
        <f t="shared" ref="F6:F17" si="6">IF(NETWORKDAYS(C6,E6,$B$23:$B$27)&lt;D6,E6+D6-NETWORKDAYS(C6,E6,$B$23:$B$27),E6)</f>
        <v>45276</v>
      </c>
      <c r="G6" s="16">
        <f t="shared" ref="G5:G7" si="7">+NETWORKDAYS.INTL(C6,E6,1,$B$23:$B$27)-1</f>
        <v>4</v>
      </c>
      <c r="H6" s="16">
        <f t="shared" si="0"/>
        <v>1</v>
      </c>
      <c r="I6" s="17">
        <f t="shared" si="1"/>
        <v>45277</v>
      </c>
      <c r="J6" s="16">
        <f t="shared" si="2"/>
        <v>4</v>
      </c>
      <c r="K6" s="18">
        <f t="shared" si="3"/>
        <v>1</v>
      </c>
      <c r="L6" s="35">
        <f t="shared" si="4"/>
        <v>45278</v>
      </c>
    </row>
    <row r="7" spans="1:12" x14ac:dyDescent="0.3">
      <c r="A7" s="52"/>
      <c r="B7" s="2" t="s">
        <v>18</v>
      </c>
      <c r="C7" s="3">
        <f>L6+1</f>
        <v>45279</v>
      </c>
      <c r="D7" s="4">
        <v>8</v>
      </c>
      <c r="E7" s="3">
        <f t="shared" si="5"/>
        <v>45287</v>
      </c>
      <c r="F7" s="15">
        <f t="shared" si="6"/>
        <v>45289</v>
      </c>
      <c r="G7" s="16">
        <f t="shared" si="7"/>
        <v>5</v>
      </c>
      <c r="H7" s="16">
        <f t="shared" si="0"/>
        <v>3</v>
      </c>
      <c r="I7" s="17">
        <f t="shared" si="1"/>
        <v>45290</v>
      </c>
      <c r="J7" s="16">
        <f t="shared" si="2"/>
        <v>7</v>
      </c>
      <c r="K7" s="18">
        <f t="shared" si="3"/>
        <v>1</v>
      </c>
      <c r="L7" s="35">
        <f t="shared" si="4"/>
        <v>45291</v>
      </c>
    </row>
    <row r="8" spans="1:12" x14ac:dyDescent="0.3">
      <c r="A8" s="51" t="s">
        <v>0</v>
      </c>
      <c r="B8" s="11" t="s">
        <v>8</v>
      </c>
      <c r="C8" s="12">
        <f t="shared" ref="C7:C8" si="8">F7+1</f>
        <v>45290</v>
      </c>
      <c r="D8" s="13">
        <v>4</v>
      </c>
      <c r="E8" s="12">
        <f t="shared" si="5"/>
        <v>45294</v>
      </c>
      <c r="F8" s="19">
        <f t="shared" si="6"/>
        <v>45296</v>
      </c>
      <c r="G8" s="20">
        <f>+NETWORKDAYS.INTL(C8,E8,1,$B$23:$B$27)-1</f>
        <v>1</v>
      </c>
      <c r="H8" s="20">
        <f>D8-G8</f>
        <v>3</v>
      </c>
      <c r="I8" s="21">
        <f>E8+H8</f>
        <v>45297</v>
      </c>
      <c r="J8" s="20">
        <f>+NETWORKDAYS.INTL(C8,I8,1,$B$23:$B$27)-1</f>
        <v>3</v>
      </c>
      <c r="K8" s="22">
        <f>D8-J8</f>
        <v>1</v>
      </c>
      <c r="L8" s="36">
        <f t="shared" ref="L8" si="9">I8+K8</f>
        <v>45298</v>
      </c>
    </row>
    <row r="9" spans="1:12" x14ac:dyDescent="0.3">
      <c r="A9" s="51"/>
      <c r="B9" s="11" t="s">
        <v>9</v>
      </c>
      <c r="C9" s="12">
        <f>L8+1</f>
        <v>45299</v>
      </c>
      <c r="D9" s="13">
        <v>4</v>
      </c>
      <c r="E9" s="12">
        <f t="shared" si="5"/>
        <v>45303</v>
      </c>
      <c r="F9" s="19">
        <f t="shared" si="6"/>
        <v>45303</v>
      </c>
      <c r="G9" s="20">
        <f t="shared" ref="G9:G17" si="10">+NETWORKDAYS.INTL(C9,E9,1,$B$23:$B$27)-1</f>
        <v>4</v>
      </c>
      <c r="H9" s="20">
        <f t="shared" ref="H9:H17" si="11">D9-G9</f>
        <v>0</v>
      </c>
      <c r="I9" s="21">
        <f t="shared" ref="I9:I17" si="12">E9+H9</f>
        <v>45303</v>
      </c>
      <c r="J9" s="20">
        <f t="shared" ref="J9:J17" si="13">+NETWORKDAYS.INTL(C9,I9,1,$B$23:$B$27)-1</f>
        <v>4</v>
      </c>
      <c r="K9" s="22">
        <f t="shared" ref="K9:K17" si="14">D9-J9</f>
        <v>0</v>
      </c>
      <c r="L9" s="36">
        <f t="shared" ref="L9:L17" si="15">I9+K9</f>
        <v>45303</v>
      </c>
    </row>
    <row r="10" spans="1:12" x14ac:dyDescent="0.3">
      <c r="A10" s="51"/>
      <c r="B10" s="11" t="s">
        <v>10</v>
      </c>
      <c r="C10" s="12">
        <f t="shared" ref="C10:C17" si="16">L9+1</f>
        <v>45304</v>
      </c>
      <c r="D10" s="13">
        <v>4</v>
      </c>
      <c r="E10" s="12">
        <f t="shared" si="5"/>
        <v>45308</v>
      </c>
      <c r="F10" s="19">
        <f t="shared" si="6"/>
        <v>45309</v>
      </c>
      <c r="G10" s="20">
        <f t="shared" si="10"/>
        <v>2</v>
      </c>
      <c r="H10" s="20">
        <f t="shared" si="11"/>
        <v>2</v>
      </c>
      <c r="I10" s="21">
        <f t="shared" si="12"/>
        <v>45310</v>
      </c>
      <c r="J10" s="20">
        <f t="shared" si="13"/>
        <v>4</v>
      </c>
      <c r="K10" s="22">
        <f t="shared" si="14"/>
        <v>0</v>
      </c>
      <c r="L10" s="36">
        <f t="shared" si="15"/>
        <v>45310</v>
      </c>
    </row>
    <row r="11" spans="1:12" ht="33" x14ac:dyDescent="0.3">
      <c r="A11" s="51"/>
      <c r="B11" s="14" t="s">
        <v>11</v>
      </c>
      <c r="C11" s="12">
        <f t="shared" si="16"/>
        <v>45311</v>
      </c>
      <c r="D11" s="13">
        <v>4</v>
      </c>
      <c r="E11" s="12">
        <f t="shared" si="5"/>
        <v>45315</v>
      </c>
      <c r="F11" s="19">
        <f t="shared" si="6"/>
        <v>45316</v>
      </c>
      <c r="G11" s="20">
        <f t="shared" si="10"/>
        <v>2</v>
      </c>
      <c r="H11" s="20">
        <f t="shared" si="11"/>
        <v>2</v>
      </c>
      <c r="I11" s="21">
        <f t="shared" si="12"/>
        <v>45317</v>
      </c>
      <c r="J11" s="20">
        <f t="shared" si="13"/>
        <v>4</v>
      </c>
      <c r="K11" s="22">
        <f t="shared" si="14"/>
        <v>0</v>
      </c>
      <c r="L11" s="36">
        <f t="shared" si="15"/>
        <v>45317</v>
      </c>
    </row>
    <row r="12" spans="1:12" ht="33" x14ac:dyDescent="0.3">
      <c r="A12" s="51"/>
      <c r="B12" s="14" t="s">
        <v>12</v>
      </c>
      <c r="C12" s="12">
        <f t="shared" si="16"/>
        <v>45318</v>
      </c>
      <c r="D12" s="13">
        <v>7</v>
      </c>
      <c r="E12" s="12">
        <f t="shared" si="5"/>
        <v>45325</v>
      </c>
      <c r="F12" s="19">
        <f t="shared" si="6"/>
        <v>45327</v>
      </c>
      <c r="G12" s="20">
        <f t="shared" si="10"/>
        <v>4</v>
      </c>
      <c r="H12" s="20">
        <f t="shared" si="11"/>
        <v>3</v>
      </c>
      <c r="I12" s="21">
        <f t="shared" si="12"/>
        <v>45328</v>
      </c>
      <c r="J12" s="20">
        <f t="shared" si="13"/>
        <v>6</v>
      </c>
      <c r="K12" s="22">
        <f t="shared" si="14"/>
        <v>1</v>
      </c>
      <c r="L12" s="36">
        <f t="shared" si="15"/>
        <v>45329</v>
      </c>
    </row>
    <row r="13" spans="1:12" ht="33" x14ac:dyDescent="0.3">
      <c r="A13" s="49" t="s">
        <v>1</v>
      </c>
      <c r="B13" s="5" t="s">
        <v>13</v>
      </c>
      <c r="C13" s="6">
        <f>L12+1</f>
        <v>45330</v>
      </c>
      <c r="D13" s="7">
        <v>2</v>
      </c>
      <c r="E13" s="6">
        <f t="shared" si="5"/>
        <v>45332</v>
      </c>
      <c r="F13" s="23">
        <f t="shared" si="6"/>
        <v>45332</v>
      </c>
      <c r="G13" s="24">
        <f t="shared" si="10"/>
        <v>1</v>
      </c>
      <c r="H13" s="24">
        <f t="shared" si="11"/>
        <v>1</v>
      </c>
      <c r="I13" s="25">
        <f t="shared" si="12"/>
        <v>45333</v>
      </c>
      <c r="J13" s="24">
        <f t="shared" si="13"/>
        <v>1</v>
      </c>
      <c r="K13" s="26">
        <f t="shared" si="14"/>
        <v>1</v>
      </c>
      <c r="L13" s="37">
        <f t="shared" si="15"/>
        <v>45334</v>
      </c>
    </row>
    <row r="14" spans="1:12" ht="49.5" x14ac:dyDescent="0.3">
      <c r="A14" s="49"/>
      <c r="B14" s="5" t="s">
        <v>22</v>
      </c>
      <c r="C14" s="6">
        <f t="shared" si="16"/>
        <v>45335</v>
      </c>
      <c r="D14" s="7">
        <v>2</v>
      </c>
      <c r="E14" s="6">
        <f t="shared" si="5"/>
        <v>45337</v>
      </c>
      <c r="F14" s="23">
        <f t="shared" si="6"/>
        <v>45337</v>
      </c>
      <c r="G14" s="24">
        <f t="shared" si="10"/>
        <v>1</v>
      </c>
      <c r="H14" s="24">
        <f t="shared" si="11"/>
        <v>1</v>
      </c>
      <c r="I14" s="25">
        <f t="shared" si="12"/>
        <v>45338</v>
      </c>
      <c r="J14" s="24">
        <f t="shared" si="13"/>
        <v>2</v>
      </c>
      <c r="K14" s="26">
        <f t="shared" si="14"/>
        <v>0</v>
      </c>
      <c r="L14" s="37">
        <f t="shared" si="15"/>
        <v>45338</v>
      </c>
    </row>
    <row r="15" spans="1:12" ht="33" x14ac:dyDescent="0.3">
      <c r="A15" s="49"/>
      <c r="B15" s="5" t="s">
        <v>14</v>
      </c>
      <c r="C15" s="6">
        <f t="shared" si="16"/>
        <v>45339</v>
      </c>
      <c r="D15" s="7">
        <v>2</v>
      </c>
      <c r="E15" s="6">
        <f t="shared" si="5"/>
        <v>45341</v>
      </c>
      <c r="F15" s="23">
        <f t="shared" si="6"/>
        <v>45342</v>
      </c>
      <c r="G15" s="24">
        <f t="shared" si="10"/>
        <v>0</v>
      </c>
      <c r="H15" s="24">
        <f t="shared" si="11"/>
        <v>2</v>
      </c>
      <c r="I15" s="25">
        <f t="shared" si="12"/>
        <v>45343</v>
      </c>
      <c r="J15" s="24">
        <f t="shared" si="13"/>
        <v>2</v>
      </c>
      <c r="K15" s="26">
        <f t="shared" si="14"/>
        <v>0</v>
      </c>
      <c r="L15" s="37">
        <f t="shared" si="15"/>
        <v>45343</v>
      </c>
    </row>
    <row r="16" spans="1:12" ht="33" x14ac:dyDescent="0.3">
      <c r="A16" s="49"/>
      <c r="B16" s="5" t="s">
        <v>32</v>
      </c>
      <c r="C16" s="6">
        <f t="shared" si="16"/>
        <v>45344</v>
      </c>
      <c r="D16" s="7">
        <v>2</v>
      </c>
      <c r="E16" s="6">
        <f t="shared" si="5"/>
        <v>45346</v>
      </c>
      <c r="F16" s="23">
        <f t="shared" si="6"/>
        <v>45346</v>
      </c>
      <c r="G16" s="24">
        <f t="shared" si="10"/>
        <v>1</v>
      </c>
      <c r="H16" s="24">
        <f t="shared" si="11"/>
        <v>1</v>
      </c>
      <c r="I16" s="25">
        <f t="shared" si="12"/>
        <v>45347</v>
      </c>
      <c r="J16" s="24">
        <f t="shared" si="13"/>
        <v>1</v>
      </c>
      <c r="K16" s="26">
        <f t="shared" si="14"/>
        <v>1</v>
      </c>
      <c r="L16" s="37">
        <f t="shared" si="15"/>
        <v>45348</v>
      </c>
    </row>
    <row r="17" spans="1:12" ht="50.25" thickBot="1" x14ac:dyDescent="0.35">
      <c r="A17" s="50"/>
      <c r="B17" s="38" t="s">
        <v>15</v>
      </c>
      <c r="C17" s="39">
        <f t="shared" si="16"/>
        <v>45349</v>
      </c>
      <c r="D17" s="40">
        <v>4</v>
      </c>
      <c r="E17" s="39">
        <f t="shared" si="5"/>
        <v>45353</v>
      </c>
      <c r="F17" s="41">
        <f t="shared" si="6"/>
        <v>45353</v>
      </c>
      <c r="G17" s="42">
        <f t="shared" si="10"/>
        <v>3</v>
      </c>
      <c r="H17" s="42">
        <f t="shared" si="11"/>
        <v>1</v>
      </c>
      <c r="I17" s="43">
        <f t="shared" si="12"/>
        <v>45354</v>
      </c>
      <c r="J17" s="42">
        <f t="shared" si="13"/>
        <v>3</v>
      </c>
      <c r="K17" s="44">
        <f t="shared" si="14"/>
        <v>1</v>
      </c>
      <c r="L17" s="45">
        <f t="shared" si="15"/>
        <v>45355</v>
      </c>
    </row>
    <row r="18" spans="1:12" ht="17.25" thickBot="1" x14ac:dyDescent="0.35"/>
    <row r="19" spans="1:12" x14ac:dyDescent="0.3">
      <c r="A19" s="28" t="s">
        <v>21</v>
      </c>
      <c r="B19" s="29">
        <f>L17</f>
        <v>45355</v>
      </c>
    </row>
    <row r="20" spans="1:12" x14ac:dyDescent="0.3">
      <c r="A20" s="30" t="s">
        <v>30</v>
      </c>
      <c r="B20" s="31">
        <f>B19+14</f>
        <v>45369</v>
      </c>
    </row>
    <row r="21" spans="1:12" ht="17.25" thickBot="1" x14ac:dyDescent="0.35">
      <c r="A21" s="32" t="s">
        <v>31</v>
      </c>
      <c r="B21" s="33">
        <f>B19+14</f>
        <v>45369</v>
      </c>
      <c r="C21" s="9"/>
      <c r="E21" s="9"/>
    </row>
    <row r="23" spans="1:12" x14ac:dyDescent="0.3">
      <c r="A23" s="8" t="s">
        <v>5</v>
      </c>
      <c r="B23" s="10">
        <v>45268</v>
      </c>
    </row>
    <row r="24" spans="1:12" x14ac:dyDescent="0.3">
      <c r="B24" s="10">
        <v>45285</v>
      </c>
    </row>
    <row r="25" spans="1:12" x14ac:dyDescent="0.3">
      <c r="B25" s="10">
        <v>45292</v>
      </c>
    </row>
    <row r="26" spans="1:12" x14ac:dyDescent="0.3">
      <c r="B26" s="10">
        <v>45334</v>
      </c>
    </row>
    <row r="27" spans="1:12" x14ac:dyDescent="0.3">
      <c r="B27" s="10">
        <v>45335</v>
      </c>
    </row>
  </sheetData>
  <mergeCells count="4">
    <mergeCell ref="A13:A17"/>
    <mergeCell ref="A8:A12"/>
    <mergeCell ref="A5:A7"/>
    <mergeCell ref="A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10" sqref="C10"/>
    </sheetView>
  </sheetViews>
  <sheetFormatPr baseColWidth="10" defaultRowHeight="15" x14ac:dyDescent="0.25"/>
  <cols>
    <col min="1" max="1" width="50" bestFit="1" customWidth="1"/>
    <col min="2" max="2" width="49.5703125" customWidth="1"/>
    <col min="3" max="3" width="14.28515625" bestFit="1" customWidth="1"/>
    <col min="4" max="4" width="17.42578125" bestFit="1" customWidth="1"/>
    <col min="5" max="5" width="11.85546875" bestFit="1" customWidth="1"/>
    <col min="7" max="7" width="11.85546875" bestFit="1" customWidth="1"/>
  </cols>
  <sheetData>
    <row r="1" spans="1:11" x14ac:dyDescent="0.25">
      <c r="A1" t="s">
        <v>4</v>
      </c>
      <c r="B1" s="56">
        <v>45260</v>
      </c>
    </row>
    <row r="3" spans="1:11" x14ac:dyDescent="0.25">
      <c r="A3" t="s">
        <v>2</v>
      </c>
    </row>
    <row r="4" spans="1:11" x14ac:dyDescent="0.25">
      <c r="A4" t="s">
        <v>19</v>
      </c>
      <c r="B4" t="s">
        <v>20</v>
      </c>
      <c r="C4" t="s">
        <v>6</v>
      </c>
      <c r="D4" t="s">
        <v>23</v>
      </c>
      <c r="E4" t="s">
        <v>33</v>
      </c>
      <c r="F4" t="s">
        <v>34</v>
      </c>
      <c r="G4" t="s">
        <v>36</v>
      </c>
      <c r="H4" t="s">
        <v>28</v>
      </c>
      <c r="I4" s="57"/>
      <c r="J4" t="s">
        <v>35</v>
      </c>
    </row>
    <row r="5" spans="1:11" x14ac:dyDescent="0.25">
      <c r="A5" t="s">
        <v>3</v>
      </c>
      <c r="B5" t="s">
        <v>16</v>
      </c>
      <c r="C5" s="56">
        <v>45260</v>
      </c>
      <c r="D5">
        <v>5</v>
      </c>
      <c r="E5">
        <f>IF(D5&gt;=5,D5+2,D5)</f>
        <v>7</v>
      </c>
      <c r="F5" s="56">
        <f>C5+E5</f>
        <v>45267</v>
      </c>
      <c r="G5">
        <f>NETWORKDAYS.INTL(C5,F5,1,$B$24:$B$28)</f>
        <v>6</v>
      </c>
      <c r="H5" t="str">
        <f>IF(G5-1=D5,"ok","muerte")</f>
        <v>ok</v>
      </c>
      <c r="I5" s="58">
        <f t="shared" ref="I5:I6" si="0">IF(H5="muerte",F5+2,F5)</f>
        <v>45267</v>
      </c>
      <c r="J5">
        <f>NETWORKDAYS.INTL(C5,I5,1,$B$24:$B$28)</f>
        <v>6</v>
      </c>
      <c r="K5" t="str">
        <f t="shared" ref="K5:K7" si="1">IF(J5-1=D5,"ok","muerte2")</f>
        <v>ok</v>
      </c>
    </row>
    <row r="6" spans="1:11" x14ac:dyDescent="0.25">
      <c r="B6" t="s">
        <v>17</v>
      </c>
      <c r="C6" s="56">
        <v>45271</v>
      </c>
      <c r="D6">
        <v>5</v>
      </c>
      <c r="E6">
        <f t="shared" ref="E6:E17" si="2">IF(D6&gt;=5,D6+2,D6)</f>
        <v>7</v>
      </c>
      <c r="F6" s="56">
        <f>C6+E6</f>
        <v>45278</v>
      </c>
      <c r="G6">
        <f t="shared" ref="G6:G17" si="3">NETWORKDAYS.INTL(C6,F6,1,$B$24:$B$28)</f>
        <v>6</v>
      </c>
      <c r="H6" t="str">
        <f>IF(G6-1=D6,"ok","muerte")</f>
        <v>ok</v>
      </c>
      <c r="I6" s="58">
        <f t="shared" si="0"/>
        <v>45278</v>
      </c>
      <c r="J6">
        <f t="shared" ref="J6:J17" si="4">NETWORKDAYS.INTL(C6,I6,1,$B$24:$B$28)</f>
        <v>6</v>
      </c>
      <c r="K6" t="str">
        <f t="shared" si="1"/>
        <v>ok</v>
      </c>
    </row>
    <row r="7" spans="1:11" x14ac:dyDescent="0.25">
      <c r="B7" t="s">
        <v>18</v>
      </c>
      <c r="C7" s="56">
        <f>I6+1</f>
        <v>45279</v>
      </c>
      <c r="D7">
        <v>8</v>
      </c>
      <c r="E7">
        <f t="shared" si="2"/>
        <v>10</v>
      </c>
      <c r="F7" s="56">
        <f>C7+E7</f>
        <v>45289</v>
      </c>
      <c r="G7">
        <f t="shared" si="3"/>
        <v>8</v>
      </c>
      <c r="H7" t="str">
        <f>IF(G7-1=D7,"ok","muerte")</f>
        <v>muerte</v>
      </c>
      <c r="I7" s="58">
        <f>IF(H7="muerte",F7+4,F7)</f>
        <v>45293</v>
      </c>
      <c r="J7">
        <f t="shared" si="4"/>
        <v>9</v>
      </c>
      <c r="K7" t="str">
        <f t="shared" si="1"/>
        <v>ok</v>
      </c>
    </row>
    <row r="8" spans="1:11" x14ac:dyDescent="0.25">
      <c r="A8" t="s">
        <v>0</v>
      </c>
      <c r="B8" t="s">
        <v>8</v>
      </c>
      <c r="C8" s="56">
        <f>I7+1</f>
        <v>45294</v>
      </c>
      <c r="D8">
        <v>4</v>
      </c>
      <c r="E8">
        <f t="shared" si="2"/>
        <v>4</v>
      </c>
      <c r="F8" s="56">
        <f>C8+E8</f>
        <v>45298</v>
      </c>
      <c r="G8">
        <f t="shared" si="3"/>
        <v>3</v>
      </c>
      <c r="H8" t="str">
        <f>IF(G8-1=D8,"ok","muerte")</f>
        <v>muerte</v>
      </c>
      <c r="I8" s="58">
        <f>IF(H8="muerte",F8+2,F8)</f>
        <v>45300</v>
      </c>
      <c r="J8">
        <f t="shared" si="4"/>
        <v>5</v>
      </c>
      <c r="K8" t="str">
        <f>IF(J8-1=D8,"ok","muerte2")</f>
        <v>ok</v>
      </c>
    </row>
    <row r="9" spans="1:11" x14ac:dyDescent="0.25">
      <c r="B9" t="s">
        <v>9</v>
      </c>
      <c r="C9" s="56">
        <f>I8+1</f>
        <v>45301</v>
      </c>
      <c r="D9">
        <v>4</v>
      </c>
      <c r="E9">
        <f t="shared" si="2"/>
        <v>4</v>
      </c>
      <c r="F9" s="56">
        <f t="shared" ref="F9:F17" si="5">C9+E9</f>
        <v>45305</v>
      </c>
      <c r="G9">
        <f t="shared" si="3"/>
        <v>3</v>
      </c>
      <c r="H9" t="str">
        <f t="shared" ref="H9:H17" si="6">IF(G9-1=D9,"ok","muerte")</f>
        <v>muerte</v>
      </c>
      <c r="I9" s="58">
        <f t="shared" ref="I9:I17" si="7">IF(H9="muerte",F9+2,F9)</f>
        <v>45307</v>
      </c>
      <c r="J9">
        <f t="shared" si="4"/>
        <v>5</v>
      </c>
      <c r="K9" t="str">
        <f t="shared" ref="K9:K17" si="8">IF(J9-1=D9,"ok","muerte2")</f>
        <v>ok</v>
      </c>
    </row>
    <row r="10" spans="1:11" x14ac:dyDescent="0.25">
      <c r="B10" t="s">
        <v>10</v>
      </c>
      <c r="C10" s="56">
        <f>I9+1</f>
        <v>45308</v>
      </c>
      <c r="D10">
        <v>4</v>
      </c>
      <c r="E10">
        <f t="shared" si="2"/>
        <v>4</v>
      </c>
      <c r="F10" s="56">
        <f t="shared" si="5"/>
        <v>45312</v>
      </c>
      <c r="G10">
        <f t="shared" si="3"/>
        <v>3</v>
      </c>
      <c r="H10" t="str">
        <f t="shared" si="6"/>
        <v>muerte</v>
      </c>
      <c r="I10" s="58">
        <f t="shared" si="7"/>
        <v>45314</v>
      </c>
      <c r="J10">
        <f t="shared" si="4"/>
        <v>5</v>
      </c>
      <c r="K10" t="str">
        <f t="shared" si="8"/>
        <v>ok</v>
      </c>
    </row>
    <row r="11" spans="1:11" x14ac:dyDescent="0.25">
      <c r="B11" t="s">
        <v>11</v>
      </c>
      <c r="C11" s="56">
        <f>I10+1</f>
        <v>45315</v>
      </c>
      <c r="D11">
        <v>4</v>
      </c>
      <c r="E11">
        <f t="shared" si="2"/>
        <v>4</v>
      </c>
      <c r="F11" s="56">
        <f t="shared" si="5"/>
        <v>45319</v>
      </c>
      <c r="G11">
        <f t="shared" si="3"/>
        <v>3</v>
      </c>
      <c r="H11" t="str">
        <f t="shared" si="6"/>
        <v>muerte</v>
      </c>
      <c r="I11" s="58">
        <f t="shared" si="7"/>
        <v>45321</v>
      </c>
      <c r="J11">
        <f t="shared" si="4"/>
        <v>5</v>
      </c>
      <c r="K11" t="str">
        <f t="shared" si="8"/>
        <v>ok</v>
      </c>
    </row>
    <row r="12" spans="1:11" x14ac:dyDescent="0.25">
      <c r="B12" t="s">
        <v>12</v>
      </c>
      <c r="C12" s="56">
        <f>I11+1</f>
        <v>45322</v>
      </c>
      <c r="D12">
        <v>7</v>
      </c>
      <c r="E12">
        <f t="shared" si="2"/>
        <v>9</v>
      </c>
      <c r="F12" s="56">
        <f t="shared" si="5"/>
        <v>45331</v>
      </c>
      <c r="G12">
        <f t="shared" si="3"/>
        <v>8</v>
      </c>
      <c r="H12" t="str">
        <f t="shared" si="6"/>
        <v>ok</v>
      </c>
      <c r="I12" s="58">
        <f t="shared" si="7"/>
        <v>45331</v>
      </c>
      <c r="J12">
        <f t="shared" si="4"/>
        <v>8</v>
      </c>
      <c r="K12" t="str">
        <f t="shared" si="8"/>
        <v>ok</v>
      </c>
    </row>
    <row r="13" spans="1:11" x14ac:dyDescent="0.25">
      <c r="A13" t="s">
        <v>1</v>
      </c>
      <c r="B13" t="s">
        <v>13</v>
      </c>
      <c r="C13" s="56">
        <f>I12+5</f>
        <v>45336</v>
      </c>
      <c r="D13">
        <v>2</v>
      </c>
      <c r="E13">
        <f t="shared" si="2"/>
        <v>2</v>
      </c>
      <c r="F13" s="56">
        <f t="shared" si="5"/>
        <v>45338</v>
      </c>
      <c r="G13">
        <f t="shared" si="3"/>
        <v>3</v>
      </c>
      <c r="H13" t="str">
        <f t="shared" si="6"/>
        <v>ok</v>
      </c>
      <c r="I13" s="58">
        <f t="shared" si="7"/>
        <v>45338</v>
      </c>
      <c r="J13">
        <f t="shared" si="4"/>
        <v>3</v>
      </c>
      <c r="K13" t="str">
        <f t="shared" si="8"/>
        <v>ok</v>
      </c>
    </row>
    <row r="14" spans="1:11" x14ac:dyDescent="0.25">
      <c r="B14" t="s">
        <v>22</v>
      </c>
      <c r="C14" s="56">
        <f>I13+3</f>
        <v>45341</v>
      </c>
      <c r="D14">
        <v>2</v>
      </c>
      <c r="E14">
        <f t="shared" si="2"/>
        <v>2</v>
      </c>
      <c r="F14" s="56">
        <f t="shared" si="5"/>
        <v>45343</v>
      </c>
      <c r="G14">
        <f t="shared" si="3"/>
        <v>3</v>
      </c>
      <c r="H14" t="str">
        <f t="shared" si="6"/>
        <v>ok</v>
      </c>
      <c r="I14" s="58">
        <f t="shared" si="7"/>
        <v>45343</v>
      </c>
      <c r="J14">
        <f t="shared" si="4"/>
        <v>3</v>
      </c>
      <c r="K14" t="str">
        <f t="shared" si="8"/>
        <v>ok</v>
      </c>
    </row>
    <row r="15" spans="1:11" x14ac:dyDescent="0.25">
      <c r="B15" t="s">
        <v>14</v>
      </c>
      <c r="C15" s="56">
        <f>I14+1</f>
        <v>45344</v>
      </c>
      <c r="D15">
        <v>2</v>
      </c>
      <c r="E15">
        <f t="shared" si="2"/>
        <v>2</v>
      </c>
      <c r="F15" s="56">
        <f t="shared" si="5"/>
        <v>45346</v>
      </c>
      <c r="G15">
        <f t="shared" si="3"/>
        <v>2</v>
      </c>
      <c r="H15" t="str">
        <f t="shared" si="6"/>
        <v>muerte</v>
      </c>
      <c r="I15" s="58">
        <f t="shared" si="7"/>
        <v>45348</v>
      </c>
      <c r="J15">
        <f t="shared" si="4"/>
        <v>3</v>
      </c>
      <c r="K15" t="str">
        <f t="shared" si="8"/>
        <v>ok</v>
      </c>
    </row>
    <row r="16" spans="1:11" x14ac:dyDescent="0.25">
      <c r="B16" t="s">
        <v>32</v>
      </c>
      <c r="C16" s="56">
        <f>I15+1</f>
        <v>45349</v>
      </c>
      <c r="D16">
        <v>2</v>
      </c>
      <c r="E16">
        <f t="shared" si="2"/>
        <v>2</v>
      </c>
      <c r="F16" s="56">
        <f t="shared" si="5"/>
        <v>45351</v>
      </c>
      <c r="G16">
        <f t="shared" si="3"/>
        <v>3</v>
      </c>
      <c r="H16" t="str">
        <f t="shared" si="6"/>
        <v>ok</v>
      </c>
      <c r="I16" s="58">
        <f t="shared" si="7"/>
        <v>45351</v>
      </c>
      <c r="J16">
        <f t="shared" si="4"/>
        <v>3</v>
      </c>
      <c r="K16" t="str">
        <f t="shared" si="8"/>
        <v>ok</v>
      </c>
    </row>
    <row r="17" spans="1:11" x14ac:dyDescent="0.25">
      <c r="B17" t="s">
        <v>15</v>
      </c>
      <c r="C17" s="56">
        <f>I16+1</f>
        <v>45352</v>
      </c>
      <c r="D17">
        <v>4</v>
      </c>
      <c r="E17">
        <f t="shared" si="2"/>
        <v>4</v>
      </c>
      <c r="F17" s="56">
        <f t="shared" si="5"/>
        <v>45356</v>
      </c>
      <c r="G17">
        <f t="shared" si="3"/>
        <v>3</v>
      </c>
      <c r="H17" t="str">
        <f t="shared" si="6"/>
        <v>muerte</v>
      </c>
      <c r="I17" s="58">
        <f t="shared" si="7"/>
        <v>45358</v>
      </c>
      <c r="J17">
        <f t="shared" si="4"/>
        <v>5</v>
      </c>
      <c r="K17" t="str">
        <f t="shared" si="8"/>
        <v>ok</v>
      </c>
    </row>
    <row r="19" spans="1:11" x14ac:dyDescent="0.25">
      <c r="A19" t="s">
        <v>21</v>
      </c>
      <c r="B19" s="56">
        <f>I17</f>
        <v>45358</v>
      </c>
    </row>
    <row r="20" spans="1:11" x14ac:dyDescent="0.25">
      <c r="A20" t="s">
        <v>30</v>
      </c>
      <c r="B20" s="56">
        <f>B19+14</f>
        <v>45372</v>
      </c>
    </row>
    <row r="21" spans="1:11" x14ac:dyDescent="0.25">
      <c r="A21" t="s">
        <v>31</v>
      </c>
      <c r="B21" s="56">
        <f>B19+14</f>
        <v>45372</v>
      </c>
    </row>
    <row r="22" spans="1:11" x14ac:dyDescent="0.25">
      <c r="A22" t="s">
        <v>37</v>
      </c>
      <c r="B22" s="56">
        <f>B19+14</f>
        <v>45372</v>
      </c>
    </row>
    <row r="24" spans="1:11" x14ac:dyDescent="0.25">
      <c r="A24" t="s">
        <v>5</v>
      </c>
      <c r="B24" s="56">
        <v>45268</v>
      </c>
    </row>
    <row r="25" spans="1:11" x14ac:dyDescent="0.25">
      <c r="B25" s="56">
        <v>45285</v>
      </c>
    </row>
    <row r="26" spans="1:11" x14ac:dyDescent="0.25">
      <c r="B26" s="56">
        <v>45292</v>
      </c>
    </row>
    <row r="27" spans="1:11" x14ac:dyDescent="0.25">
      <c r="B27" s="56">
        <v>45334</v>
      </c>
    </row>
    <row r="28" spans="1:11" x14ac:dyDescent="0.25">
      <c r="B28" s="56">
        <v>45335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Yomaira Cerón</dc:creator>
  <cp:lastModifiedBy>INEC Angel Gaibor</cp:lastModifiedBy>
  <dcterms:created xsi:type="dcterms:W3CDTF">2023-10-26T19:39:33Z</dcterms:created>
  <dcterms:modified xsi:type="dcterms:W3CDTF">2023-11-30T21:27:16Z</dcterms:modified>
</cp:coreProperties>
</file>